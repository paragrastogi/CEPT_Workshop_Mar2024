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- EDIT THIS" sheetId="1" r:id="rId4"/>
    <sheet state="visible" name="KEYS - DO NOT EDIT" sheetId="2" r:id="rId5"/>
  </sheets>
  <definedNames/>
  <calcPr/>
  <extLst>
    <ext uri="GoogleSheetsCustomDataVersion2">
      <go:sheetsCustomData xmlns:go="http://customooxmlschemas.google.com/" r:id="rId6" roundtripDataChecksum="f1GvRpM9fSLexrdJk3Iq4WLDCLJAd3ZI98DtHq7e3CM="/>
    </ext>
  </extLst>
</workbook>
</file>

<file path=xl/sharedStrings.xml><?xml version="1.0" encoding="utf-8"?>
<sst xmlns="http://schemas.openxmlformats.org/spreadsheetml/2006/main" count="161" uniqueCount="24">
  <si>
    <t>Year</t>
  </si>
  <si>
    <t>CDD</t>
  </si>
  <si>
    <t>CDD Number</t>
  </si>
  <si>
    <t>CDD Cost</t>
  </si>
  <si>
    <t>HDD</t>
  </si>
  <si>
    <t>HDD Number</t>
  </si>
  <si>
    <t>HDD Cost</t>
  </si>
  <si>
    <t>BASE_LOAD</t>
  </si>
  <si>
    <t>BASE_LOAD Number</t>
  </si>
  <si>
    <t>BASE_LOAD Cost</t>
  </si>
  <si>
    <t>PV</t>
  </si>
  <si>
    <t>PV Number</t>
  </si>
  <si>
    <t>PV Cost</t>
  </si>
  <si>
    <t>PPA</t>
  </si>
  <si>
    <t>PPA Number</t>
  </si>
  <si>
    <t>PPA Cost</t>
  </si>
  <si>
    <t>TotalCost</t>
  </si>
  <si>
    <t>Within Budget</t>
  </si>
  <si>
    <t>small</t>
  </si>
  <si>
    <t>large</t>
  </si>
  <si>
    <t>TOTAL</t>
  </si>
  <si>
    <t>COSTS</t>
  </si>
  <si>
    <t>Annual Budget (50 cr)</t>
  </si>
  <si>
    <t>Total Budget (1000 Cr)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</si>
</sst>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gt;9999999][$₹]##\,##\,##\,##0;[&gt;99999][$₹]##\,##\,##0;[$₹]##,##0\ \ 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rgb="FFFFFFFF"/>
      <name val="Aptos narrow"/>
      <scheme val="minor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2" numFmtId="0" xfId="0" applyFill="1" applyFont="1"/>
    <xf borderId="0" fillId="0" fontId="3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2.0"/>
    <col customWidth="1" min="4" max="4" width="14.78"/>
    <col customWidth="1" min="5" max="5" width="10.56"/>
    <col customWidth="1" min="6" max="6" width="12.0"/>
    <col customWidth="1" min="7" max="7" width="14.78"/>
    <col customWidth="1" min="8" max="8" width="10.56"/>
    <col customWidth="1" min="9" max="9" width="17.67"/>
    <col customWidth="1" min="10" max="10" width="14.78"/>
    <col customWidth="1" min="11" max="12" width="10.56"/>
    <col customWidth="1" min="13" max="13" width="15.78"/>
    <col customWidth="1" min="14" max="15" width="10.56"/>
    <col customWidth="1" min="16" max="16" width="14.78"/>
    <col customWidth="1" min="17" max="17" width="16.78"/>
    <col customWidth="1" min="18" max="18" width="12.44"/>
    <col customWidth="1" min="1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A2" s="1">
        <v>2025.0</v>
      </c>
      <c r="B2" s="2" t="s">
        <v>18</v>
      </c>
      <c r="C2" s="3">
        <v>40.0</v>
      </c>
      <c r="D2" s="4">
        <f t="array" ref="D2">XLOOKUP(B2,'KEYS - DO NOT EDIT'!$B$2:$B$3,'KEYS - DO NOT EDIT'!$C$2:$C$3)*C2</f>
        <v>300000000</v>
      </c>
      <c r="E2" s="2" t="s">
        <v>18</v>
      </c>
      <c r="F2" s="3">
        <v>10.0</v>
      </c>
      <c r="G2" s="4">
        <f t="array" ref="G2">XLOOKUP(E2,'KEYS - DO NOT EDIT'!$B$2:$B$3,'KEYS - DO NOT EDIT'!$D$2:$D$3)*F2</f>
        <v>50000000</v>
      </c>
      <c r="H2" s="2" t="s">
        <v>18</v>
      </c>
      <c r="I2" s="3">
        <v>10.0</v>
      </c>
      <c r="J2" s="4">
        <f t="array" ref="J2">XLOOKUP(H2,'KEYS - DO NOT EDIT'!$B$2:$B$3,'KEYS - DO NOT EDIT'!$E$2:$E$3)*I2</f>
        <v>50000000</v>
      </c>
      <c r="K2" s="2" t="s">
        <v>19</v>
      </c>
      <c r="L2" s="3">
        <v>50.0</v>
      </c>
      <c r="M2" s="4">
        <f t="array" ref="M2">XLOOKUP(K2,'KEYS - DO NOT EDIT'!$B$2:$B$3,'KEYS - DO NOT EDIT'!$F$2:$F$3)*L2</f>
        <v>150000000</v>
      </c>
      <c r="N2" s="2" t="s">
        <v>18</v>
      </c>
      <c r="O2" s="3">
        <v>10.0</v>
      </c>
      <c r="P2" s="4">
        <f t="array" ref="P2">XLOOKUP(N2,'KEYS - DO NOT EDIT'!$B$2:$B$3,'KEYS - DO NOT EDIT'!$G$2:$G$3)*O2</f>
        <v>15000000</v>
      </c>
      <c r="Q2" s="4">
        <f t="shared" ref="Q2:Q27" si="1">P2+M2+J2+G2+D2</f>
        <v>565000000</v>
      </c>
      <c r="R2" s="1" t="b">
        <f>IF(Q2&lt;='KEYS - DO NOT EDIT'!$A$6,TRUE,FALSE)</f>
        <v>0</v>
      </c>
    </row>
    <row r="3" ht="15.75" customHeight="1">
      <c r="A3" s="1">
        <v>2026.0</v>
      </c>
      <c r="B3" s="2" t="s">
        <v>18</v>
      </c>
      <c r="C3" s="3">
        <v>10.0</v>
      </c>
      <c r="D3" s="4">
        <f t="array" ref="D3">XLOOKUP(B3,'KEYS - DO NOT EDIT'!$B$2:$B$3,'KEYS - DO NOT EDIT'!$C$2:$C$3)*C3</f>
        <v>75000000</v>
      </c>
      <c r="E3" s="2" t="s">
        <v>18</v>
      </c>
      <c r="F3" s="3">
        <v>10.0</v>
      </c>
      <c r="G3" s="4">
        <f t="array" ref="G3">XLOOKUP(E3,'KEYS - DO NOT EDIT'!$B$2:$B$3,'KEYS - DO NOT EDIT'!$D$2:$D$3)*F3</f>
        <v>50000000</v>
      </c>
      <c r="H3" s="2" t="s">
        <v>18</v>
      </c>
      <c r="I3" s="3">
        <v>10.0</v>
      </c>
      <c r="J3" s="4">
        <f t="array" ref="J3">XLOOKUP(H3,'KEYS - DO NOT EDIT'!$B$2:$B$3,'KEYS - DO NOT EDIT'!$E$2:$E$3)*I3</f>
        <v>50000000</v>
      </c>
      <c r="K3" s="2" t="s">
        <v>18</v>
      </c>
      <c r="L3" s="3">
        <v>15.0</v>
      </c>
      <c r="M3" s="4">
        <f t="array" ref="M3">XLOOKUP(K3,'KEYS - DO NOT EDIT'!$B$2:$B$3,'KEYS - DO NOT EDIT'!$F$2:$F$3)*L3</f>
        <v>15000000</v>
      </c>
      <c r="N3" s="2" t="s">
        <v>18</v>
      </c>
      <c r="O3" s="3">
        <v>10.0</v>
      </c>
      <c r="P3" s="4">
        <f t="array" ref="P3">XLOOKUP(N3,'KEYS - DO NOT EDIT'!$B$2:$B$3,'KEYS - DO NOT EDIT'!$G$2:$G$3)*O3</f>
        <v>15000000</v>
      </c>
      <c r="Q3" s="4">
        <f t="shared" si="1"/>
        <v>205000000</v>
      </c>
      <c r="R3" s="1" t="b">
        <f>IF(Q3&lt;='KEYS - DO NOT EDIT'!$A$6,TRUE,FALSE)</f>
        <v>1</v>
      </c>
    </row>
    <row r="4" ht="15.75" customHeight="1">
      <c r="A4" s="1">
        <v>2027.0</v>
      </c>
      <c r="B4" s="2" t="s">
        <v>18</v>
      </c>
      <c r="C4" s="3">
        <v>10.0</v>
      </c>
      <c r="D4" s="4">
        <f t="array" ref="D4">XLOOKUP(B4,'KEYS - DO NOT EDIT'!$B$2:$B$3,'KEYS - DO NOT EDIT'!$C$2:$C$3)*C4</f>
        <v>75000000</v>
      </c>
      <c r="E4" s="2" t="s">
        <v>18</v>
      </c>
      <c r="F4" s="3">
        <v>10.0</v>
      </c>
      <c r="G4" s="4">
        <f t="array" ref="G4">XLOOKUP(E4,'KEYS - DO NOT EDIT'!$B$2:$B$3,'KEYS - DO NOT EDIT'!$D$2:$D$3)*F4</f>
        <v>50000000</v>
      </c>
      <c r="H4" s="2" t="s">
        <v>18</v>
      </c>
      <c r="I4" s="3">
        <v>10.0</v>
      </c>
      <c r="J4" s="4">
        <f t="array" ref="J4">XLOOKUP(H4,'KEYS - DO NOT EDIT'!$B$2:$B$3,'KEYS - DO NOT EDIT'!$E$2:$E$3)*I4</f>
        <v>50000000</v>
      </c>
      <c r="K4" s="2" t="s">
        <v>18</v>
      </c>
      <c r="L4" s="3">
        <v>15.0</v>
      </c>
      <c r="M4" s="4">
        <f t="array" ref="M4">XLOOKUP(K4,'KEYS - DO NOT EDIT'!$B$2:$B$3,'KEYS - DO NOT EDIT'!$F$2:$F$3)*L4</f>
        <v>15000000</v>
      </c>
      <c r="N4" s="2" t="s">
        <v>18</v>
      </c>
      <c r="O4" s="3">
        <v>10.0</v>
      </c>
      <c r="P4" s="4">
        <f t="array" ref="P4">XLOOKUP(N4,'KEYS - DO NOT EDIT'!$B$2:$B$3,'KEYS - DO NOT EDIT'!$G$2:$G$3)*O4</f>
        <v>15000000</v>
      </c>
      <c r="Q4" s="4">
        <f t="shared" si="1"/>
        <v>205000000</v>
      </c>
      <c r="R4" s="1" t="b">
        <f>IF(Q4&lt;='KEYS - DO NOT EDIT'!$A$6,TRUE,FALSE)</f>
        <v>1</v>
      </c>
    </row>
    <row r="5" ht="15.75" customHeight="1">
      <c r="A5" s="1">
        <v>2028.0</v>
      </c>
      <c r="B5" s="2" t="s">
        <v>18</v>
      </c>
      <c r="C5" s="3">
        <v>10.0</v>
      </c>
      <c r="D5" s="4">
        <f t="array" ref="D5">XLOOKUP(B5,'KEYS - DO NOT EDIT'!$B$2:$B$3,'KEYS - DO NOT EDIT'!$C$2:$C$3)*C5</f>
        <v>75000000</v>
      </c>
      <c r="E5" s="2" t="s">
        <v>18</v>
      </c>
      <c r="F5" s="3">
        <v>10.0</v>
      </c>
      <c r="G5" s="4">
        <f t="array" ref="G5">XLOOKUP(E5,'KEYS - DO NOT EDIT'!$B$2:$B$3,'KEYS - DO NOT EDIT'!$D$2:$D$3)*F5</f>
        <v>50000000</v>
      </c>
      <c r="H5" s="2" t="s">
        <v>18</v>
      </c>
      <c r="I5" s="3">
        <v>10.0</v>
      </c>
      <c r="J5" s="4">
        <f t="array" ref="J5">XLOOKUP(H5,'KEYS - DO NOT EDIT'!$B$2:$B$3,'KEYS - DO NOT EDIT'!$E$2:$E$3)*I5</f>
        <v>50000000</v>
      </c>
      <c r="K5" s="2" t="s">
        <v>18</v>
      </c>
      <c r="L5" s="3">
        <v>15.0</v>
      </c>
      <c r="M5" s="4">
        <f t="array" ref="M5">XLOOKUP(K5,'KEYS - DO NOT EDIT'!$B$2:$B$3,'KEYS - DO NOT EDIT'!$F$2:$F$3)*L5</f>
        <v>15000000</v>
      </c>
      <c r="N5" s="2" t="s">
        <v>18</v>
      </c>
      <c r="O5" s="3">
        <v>10.0</v>
      </c>
      <c r="P5" s="4">
        <f t="array" ref="P5">XLOOKUP(N5,'KEYS - DO NOT EDIT'!$B$2:$B$3,'KEYS - DO NOT EDIT'!$G$2:$G$3)*O5</f>
        <v>15000000</v>
      </c>
      <c r="Q5" s="4">
        <f t="shared" si="1"/>
        <v>205000000</v>
      </c>
      <c r="R5" s="1" t="b">
        <f>IF(Q5&lt;='KEYS - DO NOT EDIT'!$A$6,TRUE,FALSE)</f>
        <v>1</v>
      </c>
    </row>
    <row r="6" ht="15.75" customHeight="1">
      <c r="A6" s="1">
        <v>2029.0</v>
      </c>
      <c r="B6" s="2" t="s">
        <v>18</v>
      </c>
      <c r="C6" s="3">
        <v>10.0</v>
      </c>
      <c r="D6" s="4">
        <f t="array" ref="D6">XLOOKUP(B6,'KEYS - DO NOT EDIT'!$B$2:$B$3,'KEYS - DO NOT EDIT'!$C$2:$C$3)*C6</f>
        <v>75000000</v>
      </c>
      <c r="E6" s="2" t="s">
        <v>18</v>
      </c>
      <c r="F6" s="3">
        <v>10.0</v>
      </c>
      <c r="G6" s="4">
        <f t="array" ref="G6">XLOOKUP(E6,'KEYS - DO NOT EDIT'!$B$2:$B$3,'KEYS - DO NOT EDIT'!$D$2:$D$3)*F6</f>
        <v>50000000</v>
      </c>
      <c r="H6" s="2" t="s">
        <v>18</v>
      </c>
      <c r="I6" s="3">
        <v>10.0</v>
      </c>
      <c r="J6" s="4">
        <f t="array" ref="J6">XLOOKUP(H6,'KEYS - DO NOT EDIT'!$B$2:$B$3,'KEYS - DO NOT EDIT'!$E$2:$E$3)*I6</f>
        <v>50000000</v>
      </c>
      <c r="K6" s="2" t="s">
        <v>18</v>
      </c>
      <c r="L6" s="3">
        <v>15.0</v>
      </c>
      <c r="M6" s="4">
        <f t="array" ref="M6">XLOOKUP(K6,'KEYS - DO NOT EDIT'!$B$2:$B$3,'KEYS - DO NOT EDIT'!$F$2:$F$3)*L6</f>
        <v>15000000</v>
      </c>
      <c r="N6" s="2" t="s">
        <v>18</v>
      </c>
      <c r="O6" s="3">
        <v>10.0</v>
      </c>
      <c r="P6" s="4">
        <f t="array" ref="P6">XLOOKUP(N6,'KEYS - DO NOT EDIT'!$B$2:$B$3,'KEYS - DO NOT EDIT'!$G$2:$G$3)*O6</f>
        <v>15000000</v>
      </c>
      <c r="Q6" s="4">
        <f t="shared" si="1"/>
        <v>205000000</v>
      </c>
      <c r="R6" s="1" t="b">
        <f>IF(Q6&lt;='KEYS - DO NOT EDIT'!$A$6,TRUE,FALSE)</f>
        <v>1</v>
      </c>
    </row>
    <row r="7" ht="15.75" customHeight="1">
      <c r="A7" s="1">
        <v>2030.0</v>
      </c>
      <c r="B7" s="2" t="s">
        <v>18</v>
      </c>
      <c r="C7" s="3">
        <v>10.0</v>
      </c>
      <c r="D7" s="4">
        <f t="array" ref="D7">XLOOKUP(B7,'KEYS - DO NOT EDIT'!$B$2:$B$3,'KEYS - DO NOT EDIT'!$C$2:$C$3)*C7</f>
        <v>75000000</v>
      </c>
      <c r="E7" s="2" t="s">
        <v>18</v>
      </c>
      <c r="F7" s="3">
        <v>10.0</v>
      </c>
      <c r="G7" s="4">
        <f t="array" ref="G7">XLOOKUP(E7,'KEYS - DO NOT EDIT'!$B$2:$B$3,'KEYS - DO NOT EDIT'!$D$2:$D$3)*F7</f>
        <v>50000000</v>
      </c>
      <c r="H7" s="2" t="s">
        <v>18</v>
      </c>
      <c r="I7" s="3">
        <v>10.0</v>
      </c>
      <c r="J7" s="4">
        <f t="array" ref="J7">XLOOKUP(H7,'KEYS - DO NOT EDIT'!$B$2:$B$3,'KEYS - DO NOT EDIT'!$E$2:$E$3)*I7</f>
        <v>50000000</v>
      </c>
      <c r="K7" s="2" t="s">
        <v>18</v>
      </c>
      <c r="L7" s="3">
        <v>15.0</v>
      </c>
      <c r="M7" s="4">
        <f t="array" ref="M7">XLOOKUP(K7,'KEYS - DO NOT EDIT'!$B$2:$B$3,'KEYS - DO NOT EDIT'!$F$2:$F$3)*L7</f>
        <v>15000000</v>
      </c>
      <c r="N7" s="2" t="s">
        <v>18</v>
      </c>
      <c r="O7" s="3">
        <v>10.0</v>
      </c>
      <c r="P7" s="4">
        <f t="array" ref="P7">XLOOKUP(N7,'KEYS - DO NOT EDIT'!$B$2:$B$3,'KEYS - DO NOT EDIT'!$G$2:$G$3)*O7</f>
        <v>15000000</v>
      </c>
      <c r="Q7" s="4">
        <f t="shared" si="1"/>
        <v>205000000</v>
      </c>
      <c r="R7" s="1" t="b">
        <f>IF(Q7&lt;='KEYS - DO NOT EDIT'!$A$6,TRUE,FALSE)</f>
        <v>1</v>
      </c>
    </row>
    <row r="8" ht="15.75" customHeight="1">
      <c r="A8" s="1">
        <v>2031.0</v>
      </c>
      <c r="B8" s="2" t="s">
        <v>18</v>
      </c>
      <c r="C8" s="3">
        <v>10.0</v>
      </c>
      <c r="D8" s="4">
        <f t="array" ref="D8">XLOOKUP(B8,'KEYS - DO NOT EDIT'!$B$2:$B$3,'KEYS - DO NOT EDIT'!$C$2:$C$3)*C8</f>
        <v>75000000</v>
      </c>
      <c r="E8" s="2" t="s">
        <v>18</v>
      </c>
      <c r="F8" s="3">
        <v>10.0</v>
      </c>
      <c r="G8" s="4">
        <f t="array" ref="G8">XLOOKUP(E8,'KEYS - DO NOT EDIT'!$B$2:$B$3,'KEYS - DO NOT EDIT'!$D$2:$D$3)*F8</f>
        <v>50000000</v>
      </c>
      <c r="H8" s="2" t="s">
        <v>18</v>
      </c>
      <c r="I8" s="3">
        <v>10.0</v>
      </c>
      <c r="J8" s="4">
        <f t="array" ref="J8">XLOOKUP(H8,'KEYS - DO NOT EDIT'!$B$2:$B$3,'KEYS - DO NOT EDIT'!$E$2:$E$3)*I8</f>
        <v>50000000</v>
      </c>
      <c r="K8" s="2" t="s">
        <v>18</v>
      </c>
      <c r="L8" s="3">
        <v>15.0</v>
      </c>
      <c r="M8" s="4">
        <f t="array" ref="M8">XLOOKUP(K8,'KEYS - DO NOT EDIT'!$B$2:$B$3,'KEYS - DO NOT EDIT'!$F$2:$F$3)*L8</f>
        <v>15000000</v>
      </c>
      <c r="N8" s="2" t="s">
        <v>18</v>
      </c>
      <c r="O8" s="3">
        <v>10.0</v>
      </c>
      <c r="P8" s="4">
        <f t="array" ref="P8">XLOOKUP(N8,'KEYS - DO NOT EDIT'!$B$2:$B$3,'KEYS - DO NOT EDIT'!$G$2:$G$3)*O8</f>
        <v>15000000</v>
      </c>
      <c r="Q8" s="4">
        <f t="shared" si="1"/>
        <v>205000000</v>
      </c>
      <c r="R8" s="1" t="b">
        <f>IF(Q8&lt;='KEYS - DO NOT EDIT'!$A$6,TRUE,FALSE)</f>
        <v>1</v>
      </c>
    </row>
    <row r="9" ht="15.75" customHeight="1">
      <c r="A9" s="1">
        <v>2032.0</v>
      </c>
      <c r="B9" s="2" t="s">
        <v>18</v>
      </c>
      <c r="C9" s="3">
        <v>10.0</v>
      </c>
      <c r="D9" s="4">
        <f t="array" ref="D9">XLOOKUP(B9,'KEYS - DO NOT EDIT'!$B$2:$B$3,'KEYS - DO NOT EDIT'!$C$2:$C$3)*C9</f>
        <v>75000000</v>
      </c>
      <c r="E9" s="2" t="s">
        <v>18</v>
      </c>
      <c r="F9" s="3">
        <v>10.0</v>
      </c>
      <c r="G9" s="4">
        <f t="array" ref="G9">XLOOKUP(E9,'KEYS - DO NOT EDIT'!$B$2:$B$3,'KEYS - DO NOT EDIT'!$D$2:$D$3)*F9</f>
        <v>50000000</v>
      </c>
      <c r="H9" s="2" t="s">
        <v>18</v>
      </c>
      <c r="I9" s="3">
        <v>10.0</v>
      </c>
      <c r="J9" s="4">
        <f t="array" ref="J9">XLOOKUP(H9,'KEYS - DO NOT EDIT'!$B$2:$B$3,'KEYS - DO NOT EDIT'!$E$2:$E$3)*I9</f>
        <v>50000000</v>
      </c>
      <c r="K9" s="2" t="s">
        <v>18</v>
      </c>
      <c r="L9" s="3">
        <v>15.0</v>
      </c>
      <c r="M9" s="4">
        <f t="array" ref="M9">XLOOKUP(K9,'KEYS - DO NOT EDIT'!$B$2:$B$3,'KEYS - DO NOT EDIT'!$F$2:$F$3)*L9</f>
        <v>15000000</v>
      </c>
      <c r="N9" s="2" t="s">
        <v>18</v>
      </c>
      <c r="O9" s="3">
        <v>10.0</v>
      </c>
      <c r="P9" s="4">
        <f t="array" ref="P9">XLOOKUP(N9,'KEYS - DO NOT EDIT'!$B$2:$B$3,'KEYS - DO NOT EDIT'!$G$2:$G$3)*O9</f>
        <v>15000000</v>
      </c>
      <c r="Q9" s="4">
        <f t="shared" si="1"/>
        <v>205000000</v>
      </c>
      <c r="R9" s="1" t="b">
        <f>IF(Q9&lt;='KEYS - DO NOT EDIT'!$A$6,TRUE,FALSE)</f>
        <v>1</v>
      </c>
    </row>
    <row r="10" ht="15.75" customHeight="1">
      <c r="A10" s="1">
        <v>2033.0</v>
      </c>
      <c r="B10" s="2" t="s">
        <v>18</v>
      </c>
      <c r="C10" s="3">
        <v>10.0</v>
      </c>
      <c r="D10" s="4">
        <f t="array" ref="D10">XLOOKUP(B10,'KEYS - DO NOT EDIT'!$B$2:$B$3,'KEYS - DO NOT EDIT'!$C$2:$C$3)*C10</f>
        <v>75000000</v>
      </c>
      <c r="E10" s="2" t="s">
        <v>18</v>
      </c>
      <c r="F10" s="3">
        <v>10.0</v>
      </c>
      <c r="G10" s="4">
        <f t="array" ref="G10">XLOOKUP(E10,'KEYS - DO NOT EDIT'!$B$2:$B$3,'KEYS - DO NOT EDIT'!$D$2:$D$3)*F10</f>
        <v>50000000</v>
      </c>
      <c r="H10" s="2" t="s">
        <v>18</v>
      </c>
      <c r="I10" s="3">
        <v>10.0</v>
      </c>
      <c r="J10" s="4">
        <f t="array" ref="J10">XLOOKUP(H10,'KEYS - DO NOT EDIT'!$B$2:$B$3,'KEYS - DO NOT EDIT'!$E$2:$E$3)*I10</f>
        <v>50000000</v>
      </c>
      <c r="K10" s="2" t="s">
        <v>18</v>
      </c>
      <c r="L10" s="3">
        <v>15.0</v>
      </c>
      <c r="M10" s="4">
        <f t="array" ref="M10">XLOOKUP(K10,'KEYS - DO NOT EDIT'!$B$2:$B$3,'KEYS - DO NOT EDIT'!$F$2:$F$3)*L10</f>
        <v>15000000</v>
      </c>
      <c r="N10" s="2" t="s">
        <v>18</v>
      </c>
      <c r="O10" s="3">
        <v>10.0</v>
      </c>
      <c r="P10" s="4">
        <f t="array" ref="P10">XLOOKUP(N10,'KEYS - DO NOT EDIT'!$B$2:$B$3,'KEYS - DO NOT EDIT'!$G$2:$G$3)*O10</f>
        <v>15000000</v>
      </c>
      <c r="Q10" s="4">
        <f t="shared" si="1"/>
        <v>205000000</v>
      </c>
      <c r="R10" s="1" t="b">
        <f>IF(Q10&lt;='KEYS - DO NOT EDIT'!$A$6,TRUE,FALSE)</f>
        <v>1</v>
      </c>
    </row>
    <row r="11" ht="15.75" customHeight="1">
      <c r="A11" s="1">
        <v>2034.0</v>
      </c>
      <c r="B11" s="2" t="s">
        <v>18</v>
      </c>
      <c r="C11" s="3">
        <v>10.0</v>
      </c>
      <c r="D11" s="4">
        <f t="array" ref="D11">XLOOKUP(B11,'KEYS - DO NOT EDIT'!$B$2:$B$3,'KEYS - DO NOT EDIT'!$C$2:$C$3)*C11</f>
        <v>75000000</v>
      </c>
      <c r="E11" s="2" t="s">
        <v>18</v>
      </c>
      <c r="F11" s="3">
        <v>10.0</v>
      </c>
      <c r="G11" s="4">
        <f t="array" ref="G11">XLOOKUP(E11,'KEYS - DO NOT EDIT'!$B$2:$B$3,'KEYS - DO NOT EDIT'!$D$2:$D$3)*F11</f>
        <v>50000000</v>
      </c>
      <c r="H11" s="2" t="s">
        <v>18</v>
      </c>
      <c r="I11" s="3">
        <v>10.0</v>
      </c>
      <c r="J11" s="4">
        <f t="array" ref="J11">XLOOKUP(H11,'KEYS - DO NOT EDIT'!$B$2:$B$3,'KEYS - DO NOT EDIT'!$E$2:$E$3)*I11</f>
        <v>50000000</v>
      </c>
      <c r="K11" s="2" t="s">
        <v>18</v>
      </c>
      <c r="L11" s="3">
        <v>15.0</v>
      </c>
      <c r="M11" s="4">
        <f t="array" ref="M11">XLOOKUP(K11,'KEYS - DO NOT EDIT'!$B$2:$B$3,'KEYS - DO NOT EDIT'!$F$2:$F$3)*L11</f>
        <v>15000000</v>
      </c>
      <c r="N11" s="2" t="s">
        <v>18</v>
      </c>
      <c r="O11" s="3">
        <v>10.0</v>
      </c>
      <c r="P11" s="4">
        <f t="array" ref="P11">XLOOKUP(N11,'KEYS - DO NOT EDIT'!$B$2:$B$3,'KEYS - DO NOT EDIT'!$G$2:$G$3)*O11</f>
        <v>15000000</v>
      </c>
      <c r="Q11" s="4">
        <f t="shared" si="1"/>
        <v>205000000</v>
      </c>
      <c r="R11" s="1" t="b">
        <f>IF(Q11&lt;='KEYS - DO NOT EDIT'!$A$6,TRUE,FALSE)</f>
        <v>1</v>
      </c>
    </row>
    <row r="12" ht="15.75" customHeight="1">
      <c r="A12" s="1">
        <v>2035.0</v>
      </c>
      <c r="B12" s="2" t="s">
        <v>18</v>
      </c>
      <c r="C12" s="3">
        <v>10.0</v>
      </c>
      <c r="D12" s="4">
        <f t="array" ref="D12">XLOOKUP(B12,'KEYS - DO NOT EDIT'!$B$2:$B$3,'KEYS - DO NOT EDIT'!$C$2:$C$3)*C12</f>
        <v>75000000</v>
      </c>
      <c r="E12" s="2" t="s">
        <v>18</v>
      </c>
      <c r="F12" s="3">
        <v>10.0</v>
      </c>
      <c r="G12" s="4">
        <f t="array" ref="G12">XLOOKUP(E12,'KEYS - DO NOT EDIT'!$B$2:$B$3,'KEYS - DO NOT EDIT'!$D$2:$D$3)*F12</f>
        <v>50000000</v>
      </c>
      <c r="H12" s="2" t="s">
        <v>18</v>
      </c>
      <c r="I12" s="3">
        <v>10.0</v>
      </c>
      <c r="J12" s="4">
        <f t="array" ref="J12">XLOOKUP(H12,'KEYS - DO NOT EDIT'!$B$2:$B$3,'KEYS - DO NOT EDIT'!$E$2:$E$3)*I12</f>
        <v>50000000</v>
      </c>
      <c r="K12" s="2" t="s">
        <v>18</v>
      </c>
      <c r="L12" s="3">
        <v>15.0</v>
      </c>
      <c r="M12" s="4">
        <f t="array" ref="M12">XLOOKUP(K12,'KEYS - DO NOT EDIT'!$B$2:$B$3,'KEYS - DO NOT EDIT'!$F$2:$F$3)*L12</f>
        <v>15000000</v>
      </c>
      <c r="N12" s="2" t="s">
        <v>18</v>
      </c>
      <c r="O12" s="3">
        <v>10.0</v>
      </c>
      <c r="P12" s="4">
        <f t="array" ref="P12">XLOOKUP(N12,'KEYS - DO NOT EDIT'!$B$2:$B$3,'KEYS - DO NOT EDIT'!$G$2:$G$3)*O12</f>
        <v>15000000</v>
      </c>
      <c r="Q12" s="4">
        <f t="shared" si="1"/>
        <v>205000000</v>
      </c>
      <c r="R12" s="1" t="b">
        <f>IF(Q12&lt;='KEYS - DO NOT EDIT'!$A$6,TRUE,FALSE)</f>
        <v>1</v>
      </c>
    </row>
    <row r="13" ht="15.75" customHeight="1">
      <c r="A13" s="1">
        <v>2036.0</v>
      </c>
      <c r="B13" s="2" t="s">
        <v>18</v>
      </c>
      <c r="C13" s="3">
        <v>10.0</v>
      </c>
      <c r="D13" s="4">
        <f t="array" ref="D13">XLOOKUP(B13,'KEYS - DO NOT EDIT'!$B$2:$B$3,'KEYS - DO NOT EDIT'!$C$2:$C$3)*C13</f>
        <v>75000000</v>
      </c>
      <c r="E13" s="2" t="s">
        <v>18</v>
      </c>
      <c r="F13" s="3">
        <v>10.0</v>
      </c>
      <c r="G13" s="4">
        <f t="array" ref="G13">XLOOKUP(E13,'KEYS - DO NOT EDIT'!$B$2:$B$3,'KEYS - DO NOT EDIT'!$D$2:$D$3)*F13</f>
        <v>50000000</v>
      </c>
      <c r="H13" s="2" t="s">
        <v>18</v>
      </c>
      <c r="I13" s="3">
        <v>10.0</v>
      </c>
      <c r="J13" s="4">
        <f t="array" ref="J13">XLOOKUP(H13,'KEYS - DO NOT EDIT'!$B$2:$B$3,'KEYS - DO NOT EDIT'!$E$2:$E$3)*I13</f>
        <v>50000000</v>
      </c>
      <c r="K13" s="2" t="s">
        <v>18</v>
      </c>
      <c r="L13" s="3">
        <v>15.0</v>
      </c>
      <c r="M13" s="4">
        <f t="array" ref="M13">XLOOKUP(K13,'KEYS - DO NOT EDIT'!$B$2:$B$3,'KEYS - DO NOT EDIT'!$F$2:$F$3)*L13</f>
        <v>15000000</v>
      </c>
      <c r="N13" s="2" t="s">
        <v>18</v>
      </c>
      <c r="O13" s="3">
        <v>10.0</v>
      </c>
      <c r="P13" s="4">
        <f t="array" ref="P13">XLOOKUP(N13,'KEYS - DO NOT EDIT'!$B$2:$B$3,'KEYS - DO NOT EDIT'!$G$2:$G$3)*O13</f>
        <v>15000000</v>
      </c>
      <c r="Q13" s="4">
        <f t="shared" si="1"/>
        <v>205000000</v>
      </c>
      <c r="R13" s="1" t="b">
        <f>IF(Q13&lt;='KEYS - DO NOT EDIT'!$A$6,TRUE,FALSE)</f>
        <v>1</v>
      </c>
    </row>
    <row r="14" ht="15.75" customHeight="1">
      <c r="A14" s="1">
        <v>2037.0</v>
      </c>
      <c r="B14" s="2" t="s">
        <v>18</v>
      </c>
      <c r="C14" s="3">
        <v>10.0</v>
      </c>
      <c r="D14" s="4">
        <f t="array" ref="D14">XLOOKUP(B14,'KEYS - DO NOT EDIT'!$B$2:$B$3,'KEYS - DO NOT EDIT'!$C$2:$C$3)*C14</f>
        <v>75000000</v>
      </c>
      <c r="E14" s="2" t="s">
        <v>18</v>
      </c>
      <c r="F14" s="3">
        <v>10.0</v>
      </c>
      <c r="G14" s="4">
        <f t="array" ref="G14">XLOOKUP(E14,'KEYS - DO NOT EDIT'!$B$2:$B$3,'KEYS - DO NOT EDIT'!$D$2:$D$3)*F14</f>
        <v>50000000</v>
      </c>
      <c r="H14" s="2" t="s">
        <v>18</v>
      </c>
      <c r="I14" s="3">
        <v>10.0</v>
      </c>
      <c r="J14" s="4">
        <f t="array" ref="J14">XLOOKUP(H14,'KEYS - DO NOT EDIT'!$B$2:$B$3,'KEYS - DO NOT EDIT'!$E$2:$E$3)*I14</f>
        <v>50000000</v>
      </c>
      <c r="K14" s="2" t="s">
        <v>19</v>
      </c>
      <c r="L14" s="3">
        <v>15.0</v>
      </c>
      <c r="M14" s="4">
        <f t="array" ref="M14">XLOOKUP(K14,'KEYS - DO NOT EDIT'!$B$2:$B$3,'KEYS - DO NOT EDIT'!$F$2:$F$3)*L14</f>
        <v>45000000</v>
      </c>
      <c r="N14" s="2" t="s">
        <v>18</v>
      </c>
      <c r="O14" s="3">
        <v>10.0</v>
      </c>
      <c r="P14" s="4">
        <f t="array" ref="P14">XLOOKUP(N14,'KEYS - DO NOT EDIT'!$B$2:$B$3,'KEYS - DO NOT EDIT'!$G$2:$G$3)*O14</f>
        <v>15000000</v>
      </c>
      <c r="Q14" s="4">
        <f t="shared" si="1"/>
        <v>235000000</v>
      </c>
      <c r="R14" s="1" t="b">
        <f>IF(Q14&lt;='KEYS - DO NOT EDIT'!$A$6,TRUE,FALSE)</f>
        <v>1</v>
      </c>
    </row>
    <row r="15" ht="15.75" customHeight="1">
      <c r="A15" s="1">
        <v>2038.0</v>
      </c>
      <c r="B15" s="2" t="s">
        <v>18</v>
      </c>
      <c r="C15" s="3">
        <v>10.0</v>
      </c>
      <c r="D15" s="4">
        <f t="array" ref="D15">XLOOKUP(B15,'KEYS - DO NOT EDIT'!$B$2:$B$3,'KEYS - DO NOT EDIT'!$C$2:$C$3)*C15</f>
        <v>75000000</v>
      </c>
      <c r="E15" s="2" t="s">
        <v>18</v>
      </c>
      <c r="F15" s="3">
        <v>10.0</v>
      </c>
      <c r="G15" s="4">
        <f t="array" ref="G15">XLOOKUP(E15,'KEYS - DO NOT EDIT'!$B$2:$B$3,'KEYS - DO NOT EDIT'!$D$2:$D$3)*F15</f>
        <v>50000000</v>
      </c>
      <c r="H15" s="2" t="s">
        <v>18</v>
      </c>
      <c r="I15" s="3">
        <v>10.0</v>
      </c>
      <c r="J15" s="4">
        <f t="array" ref="J15">XLOOKUP(H15,'KEYS - DO NOT EDIT'!$B$2:$B$3,'KEYS - DO NOT EDIT'!$E$2:$E$3)*I15</f>
        <v>50000000</v>
      </c>
      <c r="K15" s="2" t="s">
        <v>18</v>
      </c>
      <c r="L15" s="3">
        <v>15.0</v>
      </c>
      <c r="M15" s="4">
        <f t="array" ref="M15">XLOOKUP(K15,'KEYS - DO NOT EDIT'!$B$2:$B$3,'KEYS - DO NOT EDIT'!$F$2:$F$3)*L15</f>
        <v>15000000</v>
      </c>
      <c r="N15" s="2" t="s">
        <v>18</v>
      </c>
      <c r="O15" s="3">
        <v>10.0</v>
      </c>
      <c r="P15" s="4">
        <f t="array" ref="P15">XLOOKUP(N15,'KEYS - DO NOT EDIT'!$B$2:$B$3,'KEYS - DO NOT EDIT'!$G$2:$G$3)*O15</f>
        <v>15000000</v>
      </c>
      <c r="Q15" s="4">
        <f t="shared" si="1"/>
        <v>205000000</v>
      </c>
      <c r="R15" s="1" t="b">
        <f>IF(Q15&lt;='KEYS - DO NOT EDIT'!$A$6,TRUE,FALSE)</f>
        <v>1</v>
      </c>
    </row>
    <row r="16" ht="15.75" customHeight="1">
      <c r="A16" s="1">
        <v>2039.0</v>
      </c>
      <c r="B16" s="2" t="s">
        <v>18</v>
      </c>
      <c r="C16" s="3">
        <v>10.0</v>
      </c>
      <c r="D16" s="4">
        <f t="array" ref="D16">XLOOKUP(B16,'KEYS - DO NOT EDIT'!$B$2:$B$3,'KEYS - DO NOT EDIT'!$C$2:$C$3)*C16</f>
        <v>75000000</v>
      </c>
      <c r="E16" s="2" t="s">
        <v>18</v>
      </c>
      <c r="F16" s="3">
        <v>10.0</v>
      </c>
      <c r="G16" s="4">
        <f t="array" ref="G16">XLOOKUP(E16,'KEYS - DO NOT EDIT'!$B$2:$B$3,'KEYS - DO NOT EDIT'!$D$2:$D$3)*F16</f>
        <v>50000000</v>
      </c>
      <c r="H16" s="2" t="s">
        <v>18</v>
      </c>
      <c r="I16" s="3">
        <v>10.0</v>
      </c>
      <c r="J16" s="4">
        <f t="array" ref="J16">XLOOKUP(H16,'KEYS - DO NOT EDIT'!$B$2:$B$3,'KEYS - DO NOT EDIT'!$E$2:$E$3)*I16</f>
        <v>50000000</v>
      </c>
      <c r="K16" s="2" t="s">
        <v>18</v>
      </c>
      <c r="L16" s="3">
        <v>15.0</v>
      </c>
      <c r="M16" s="4">
        <f t="array" ref="M16">XLOOKUP(K16,'KEYS - DO NOT EDIT'!$B$2:$B$3,'KEYS - DO NOT EDIT'!$F$2:$F$3)*L16</f>
        <v>15000000</v>
      </c>
      <c r="N16" s="2" t="s">
        <v>18</v>
      </c>
      <c r="O16" s="3">
        <v>10.0</v>
      </c>
      <c r="P16" s="4">
        <f t="array" ref="P16">XLOOKUP(N16,'KEYS - DO NOT EDIT'!$B$2:$B$3,'KEYS - DO NOT EDIT'!$G$2:$G$3)*O16</f>
        <v>15000000</v>
      </c>
      <c r="Q16" s="4">
        <f t="shared" si="1"/>
        <v>205000000</v>
      </c>
      <c r="R16" s="1" t="b">
        <f>IF(Q16&lt;='KEYS - DO NOT EDIT'!$A$6,TRUE,FALSE)</f>
        <v>1</v>
      </c>
    </row>
    <row r="17" ht="15.75" customHeight="1">
      <c r="A17" s="1">
        <v>2040.0</v>
      </c>
      <c r="B17" s="2" t="s">
        <v>18</v>
      </c>
      <c r="C17" s="3">
        <v>10.0</v>
      </c>
      <c r="D17" s="4">
        <f t="array" ref="D17">XLOOKUP(B17,'KEYS - DO NOT EDIT'!$B$2:$B$3,'KEYS - DO NOT EDIT'!$C$2:$C$3)*C17</f>
        <v>75000000</v>
      </c>
      <c r="E17" s="2" t="s">
        <v>18</v>
      </c>
      <c r="F17" s="3">
        <v>10.0</v>
      </c>
      <c r="G17" s="4">
        <f t="array" ref="G17">XLOOKUP(E17,'KEYS - DO NOT EDIT'!$B$2:$B$3,'KEYS - DO NOT EDIT'!$D$2:$D$3)*F17</f>
        <v>50000000</v>
      </c>
      <c r="H17" s="2" t="s">
        <v>18</v>
      </c>
      <c r="I17" s="3">
        <v>10.0</v>
      </c>
      <c r="J17" s="4">
        <f t="array" ref="J17">XLOOKUP(H17,'KEYS - DO NOT EDIT'!$B$2:$B$3,'KEYS - DO NOT EDIT'!$E$2:$E$3)*I17</f>
        <v>50000000</v>
      </c>
      <c r="K17" s="2" t="s">
        <v>18</v>
      </c>
      <c r="L17" s="3">
        <v>15.0</v>
      </c>
      <c r="M17" s="4">
        <f t="array" ref="M17">XLOOKUP(K17,'KEYS - DO NOT EDIT'!$B$2:$B$3,'KEYS - DO NOT EDIT'!$F$2:$F$3)*L17</f>
        <v>15000000</v>
      </c>
      <c r="N17" s="2" t="s">
        <v>18</v>
      </c>
      <c r="O17" s="3">
        <v>10.0</v>
      </c>
      <c r="P17" s="4">
        <f t="array" ref="P17">XLOOKUP(N17,'KEYS - DO NOT EDIT'!$B$2:$B$3,'KEYS - DO NOT EDIT'!$G$2:$G$3)*O17</f>
        <v>15000000</v>
      </c>
      <c r="Q17" s="4">
        <f t="shared" si="1"/>
        <v>205000000</v>
      </c>
      <c r="R17" s="1" t="b">
        <f>IF(Q17&lt;='KEYS - DO NOT EDIT'!$A$6,TRUE,FALSE)</f>
        <v>1</v>
      </c>
    </row>
    <row r="18" ht="15.75" customHeight="1">
      <c r="A18" s="1">
        <v>2041.0</v>
      </c>
      <c r="B18" s="2" t="s">
        <v>18</v>
      </c>
      <c r="C18" s="3">
        <v>10.0</v>
      </c>
      <c r="D18" s="4">
        <f t="array" ref="D18">XLOOKUP(B18,'KEYS - DO NOT EDIT'!$B$2:$B$3,'KEYS - DO NOT EDIT'!$C$2:$C$3)*C18</f>
        <v>75000000</v>
      </c>
      <c r="E18" s="2" t="s">
        <v>18</v>
      </c>
      <c r="F18" s="3">
        <v>10.0</v>
      </c>
      <c r="G18" s="4">
        <f t="array" ref="G18">XLOOKUP(E18,'KEYS - DO NOT EDIT'!$B$2:$B$3,'KEYS - DO NOT EDIT'!$D$2:$D$3)*F18</f>
        <v>50000000</v>
      </c>
      <c r="H18" s="2" t="s">
        <v>18</v>
      </c>
      <c r="I18" s="3">
        <v>10.0</v>
      </c>
      <c r="J18" s="4">
        <f t="array" ref="J18">XLOOKUP(H18,'KEYS - DO NOT EDIT'!$B$2:$B$3,'KEYS - DO NOT EDIT'!$E$2:$E$3)*I18</f>
        <v>50000000</v>
      </c>
      <c r="K18" s="2" t="s">
        <v>18</v>
      </c>
      <c r="L18" s="3">
        <v>15.0</v>
      </c>
      <c r="M18" s="4">
        <f t="array" ref="M18">XLOOKUP(K18,'KEYS - DO NOT EDIT'!$B$2:$B$3,'KEYS - DO NOT EDIT'!$F$2:$F$3)*L18</f>
        <v>15000000</v>
      </c>
      <c r="N18" s="2" t="s">
        <v>18</v>
      </c>
      <c r="O18" s="3">
        <v>10.0</v>
      </c>
      <c r="P18" s="4">
        <f t="array" ref="P18">XLOOKUP(N18,'KEYS - DO NOT EDIT'!$B$2:$B$3,'KEYS - DO NOT EDIT'!$G$2:$G$3)*O18</f>
        <v>15000000</v>
      </c>
      <c r="Q18" s="4">
        <f t="shared" si="1"/>
        <v>205000000</v>
      </c>
      <c r="R18" s="1" t="b">
        <f>IF(Q18&lt;='KEYS - DO NOT EDIT'!$A$6,TRUE,FALSE)</f>
        <v>1</v>
      </c>
    </row>
    <row r="19" ht="15.75" customHeight="1">
      <c r="A19" s="1">
        <v>2042.0</v>
      </c>
      <c r="B19" s="2" t="s">
        <v>18</v>
      </c>
      <c r="C19" s="3">
        <v>10.0</v>
      </c>
      <c r="D19" s="4">
        <f t="array" ref="D19">XLOOKUP(B19,'KEYS - DO NOT EDIT'!$B$2:$B$3,'KEYS - DO NOT EDIT'!$C$2:$C$3)*C19</f>
        <v>75000000</v>
      </c>
      <c r="E19" s="2" t="s">
        <v>18</v>
      </c>
      <c r="F19" s="3">
        <v>10.0</v>
      </c>
      <c r="G19" s="4">
        <f t="array" ref="G19">XLOOKUP(E19,'KEYS - DO NOT EDIT'!$B$2:$B$3,'KEYS - DO NOT EDIT'!$D$2:$D$3)*F19</f>
        <v>50000000</v>
      </c>
      <c r="H19" s="2" t="s">
        <v>18</v>
      </c>
      <c r="I19" s="3">
        <v>10.0</v>
      </c>
      <c r="J19" s="4">
        <f t="array" ref="J19">XLOOKUP(H19,'KEYS - DO NOT EDIT'!$B$2:$B$3,'KEYS - DO NOT EDIT'!$E$2:$E$3)*I19</f>
        <v>50000000</v>
      </c>
      <c r="K19" s="2" t="s">
        <v>18</v>
      </c>
      <c r="L19" s="3">
        <v>15.0</v>
      </c>
      <c r="M19" s="4">
        <f t="array" ref="M19">XLOOKUP(K19,'KEYS - DO NOT EDIT'!$B$2:$B$3,'KEYS - DO NOT EDIT'!$F$2:$F$3)*L19</f>
        <v>15000000</v>
      </c>
      <c r="N19" s="2" t="s">
        <v>18</v>
      </c>
      <c r="O19" s="3">
        <v>10.0</v>
      </c>
      <c r="P19" s="4">
        <f t="array" ref="P19">XLOOKUP(N19,'KEYS - DO NOT EDIT'!$B$2:$B$3,'KEYS - DO NOT EDIT'!$G$2:$G$3)*O19</f>
        <v>15000000</v>
      </c>
      <c r="Q19" s="4">
        <f t="shared" si="1"/>
        <v>205000000</v>
      </c>
      <c r="R19" s="1" t="b">
        <f>IF(Q19&lt;='KEYS - DO NOT EDIT'!$A$6,TRUE,FALSE)</f>
        <v>1</v>
      </c>
    </row>
    <row r="20" ht="15.75" customHeight="1">
      <c r="A20" s="1">
        <v>2043.0</v>
      </c>
      <c r="B20" s="2" t="s">
        <v>18</v>
      </c>
      <c r="C20" s="3">
        <v>10.0</v>
      </c>
      <c r="D20" s="4">
        <f t="array" ref="D20">XLOOKUP(B20,'KEYS - DO NOT EDIT'!$B$2:$B$3,'KEYS - DO NOT EDIT'!$C$2:$C$3)*C20</f>
        <v>75000000</v>
      </c>
      <c r="E20" s="2" t="s">
        <v>18</v>
      </c>
      <c r="F20" s="3">
        <v>10.0</v>
      </c>
      <c r="G20" s="4">
        <f t="array" ref="G20">XLOOKUP(E20,'KEYS - DO NOT EDIT'!$B$2:$B$3,'KEYS - DO NOT EDIT'!$D$2:$D$3)*F20</f>
        <v>50000000</v>
      </c>
      <c r="H20" s="2" t="s">
        <v>18</v>
      </c>
      <c r="I20" s="3">
        <v>10.0</v>
      </c>
      <c r="J20" s="4">
        <f t="array" ref="J20">XLOOKUP(H20,'KEYS - DO NOT EDIT'!$B$2:$B$3,'KEYS - DO NOT EDIT'!$E$2:$E$3)*I20</f>
        <v>50000000</v>
      </c>
      <c r="K20" s="2" t="s">
        <v>18</v>
      </c>
      <c r="L20" s="3">
        <v>15.0</v>
      </c>
      <c r="M20" s="4">
        <f t="array" ref="M20">XLOOKUP(K20,'KEYS - DO NOT EDIT'!$B$2:$B$3,'KEYS - DO NOT EDIT'!$F$2:$F$3)*L20</f>
        <v>15000000</v>
      </c>
      <c r="N20" s="2" t="s">
        <v>18</v>
      </c>
      <c r="O20" s="3">
        <v>10.0</v>
      </c>
      <c r="P20" s="4">
        <f t="array" ref="P20">XLOOKUP(N20,'KEYS - DO NOT EDIT'!$B$2:$B$3,'KEYS - DO NOT EDIT'!$G$2:$G$3)*O20</f>
        <v>15000000</v>
      </c>
      <c r="Q20" s="4">
        <f t="shared" si="1"/>
        <v>205000000</v>
      </c>
      <c r="R20" s="1" t="b">
        <f>IF(Q20&lt;='KEYS - DO NOT EDIT'!$A$6,TRUE,FALSE)</f>
        <v>1</v>
      </c>
    </row>
    <row r="21" ht="15.75" customHeight="1">
      <c r="A21" s="1">
        <v>2044.0</v>
      </c>
      <c r="B21" s="2" t="s">
        <v>18</v>
      </c>
      <c r="C21" s="3">
        <v>10.0</v>
      </c>
      <c r="D21" s="4">
        <f t="array" ref="D21">XLOOKUP(B21,'KEYS - DO NOT EDIT'!$B$2:$B$3,'KEYS - DO NOT EDIT'!$C$2:$C$3)*C21</f>
        <v>75000000</v>
      </c>
      <c r="E21" s="2" t="s">
        <v>18</v>
      </c>
      <c r="F21" s="3">
        <v>10.0</v>
      </c>
      <c r="G21" s="4">
        <f t="array" ref="G21">XLOOKUP(E21,'KEYS - DO NOT EDIT'!$B$2:$B$3,'KEYS - DO NOT EDIT'!$D$2:$D$3)*F21</f>
        <v>50000000</v>
      </c>
      <c r="H21" s="2" t="s">
        <v>18</v>
      </c>
      <c r="I21" s="3">
        <v>10.0</v>
      </c>
      <c r="J21" s="4">
        <f t="array" ref="J21">XLOOKUP(H21,'KEYS - DO NOT EDIT'!$B$2:$B$3,'KEYS - DO NOT EDIT'!$E$2:$E$3)*I21</f>
        <v>50000000</v>
      </c>
      <c r="K21" s="2" t="s">
        <v>18</v>
      </c>
      <c r="L21" s="3">
        <v>15.0</v>
      </c>
      <c r="M21" s="4">
        <f t="array" ref="M21">XLOOKUP(K21,'KEYS - DO NOT EDIT'!$B$2:$B$3,'KEYS - DO NOT EDIT'!$F$2:$F$3)*L21</f>
        <v>15000000</v>
      </c>
      <c r="N21" s="2" t="s">
        <v>18</v>
      </c>
      <c r="O21" s="3">
        <v>10.0</v>
      </c>
      <c r="P21" s="4">
        <f t="array" ref="P21">XLOOKUP(N21,'KEYS - DO NOT EDIT'!$B$2:$B$3,'KEYS - DO NOT EDIT'!$G$2:$G$3)*O21</f>
        <v>15000000</v>
      </c>
      <c r="Q21" s="4">
        <f t="shared" si="1"/>
        <v>205000000</v>
      </c>
      <c r="R21" s="1" t="b">
        <f>IF(Q21&lt;='KEYS - DO NOT EDIT'!$A$6,TRUE,FALSE)</f>
        <v>1</v>
      </c>
    </row>
    <row r="22" ht="15.75" customHeight="1">
      <c r="A22" s="1">
        <v>2045.0</v>
      </c>
      <c r="B22" s="2" t="s">
        <v>18</v>
      </c>
      <c r="C22" s="3">
        <v>10.0</v>
      </c>
      <c r="D22" s="4">
        <f t="array" ref="D22">XLOOKUP(B22,'KEYS - DO NOT EDIT'!$B$2:$B$3,'KEYS - DO NOT EDIT'!$C$2:$C$3)*C22</f>
        <v>75000000</v>
      </c>
      <c r="E22" s="2" t="s">
        <v>18</v>
      </c>
      <c r="F22" s="3">
        <v>10.0</v>
      </c>
      <c r="G22" s="4">
        <f t="array" ref="G22">XLOOKUP(E22,'KEYS - DO NOT EDIT'!$B$2:$B$3,'KEYS - DO NOT EDIT'!$D$2:$D$3)*F22</f>
        <v>50000000</v>
      </c>
      <c r="H22" s="2" t="s">
        <v>18</v>
      </c>
      <c r="I22" s="3">
        <v>10.0</v>
      </c>
      <c r="J22" s="4">
        <f t="array" ref="J22">XLOOKUP(H22,'KEYS - DO NOT EDIT'!$B$2:$B$3,'KEYS - DO NOT EDIT'!$E$2:$E$3)*I22</f>
        <v>50000000</v>
      </c>
      <c r="K22" s="2" t="s">
        <v>18</v>
      </c>
      <c r="L22" s="3">
        <v>15.0</v>
      </c>
      <c r="M22" s="4">
        <f t="array" ref="M22">XLOOKUP(K22,'KEYS - DO NOT EDIT'!$B$2:$B$3,'KEYS - DO NOT EDIT'!$F$2:$F$3)*L22</f>
        <v>15000000</v>
      </c>
      <c r="N22" s="2" t="s">
        <v>18</v>
      </c>
      <c r="O22" s="3">
        <v>10.0</v>
      </c>
      <c r="P22" s="4">
        <f t="array" ref="P22">XLOOKUP(N22,'KEYS - DO NOT EDIT'!$B$2:$B$3,'KEYS - DO NOT EDIT'!$G$2:$G$3)*O22</f>
        <v>15000000</v>
      </c>
      <c r="Q22" s="4">
        <f t="shared" si="1"/>
        <v>205000000</v>
      </c>
      <c r="R22" s="1" t="b">
        <f>IF(Q22&lt;='KEYS - DO NOT EDIT'!$A$6,TRUE,FALSE)</f>
        <v>1</v>
      </c>
    </row>
    <row r="23" ht="15.75" customHeight="1">
      <c r="A23" s="1">
        <v>2046.0</v>
      </c>
      <c r="B23" s="2" t="s">
        <v>18</v>
      </c>
      <c r="C23" s="3">
        <v>10.0</v>
      </c>
      <c r="D23" s="4">
        <f t="array" ref="D23">XLOOKUP(B23,'KEYS - DO NOT EDIT'!$B$2:$B$3,'KEYS - DO NOT EDIT'!$C$2:$C$3)*C23</f>
        <v>75000000</v>
      </c>
      <c r="E23" s="2" t="s">
        <v>18</v>
      </c>
      <c r="F23" s="3">
        <v>10.0</v>
      </c>
      <c r="G23" s="4">
        <f t="array" ref="G23">XLOOKUP(E23,'KEYS - DO NOT EDIT'!$B$2:$B$3,'KEYS - DO NOT EDIT'!$D$2:$D$3)*F23</f>
        <v>50000000</v>
      </c>
      <c r="H23" s="2" t="s">
        <v>18</v>
      </c>
      <c r="I23" s="3">
        <v>10.0</v>
      </c>
      <c r="J23" s="4">
        <f t="array" ref="J23">XLOOKUP(H23,'KEYS - DO NOT EDIT'!$B$2:$B$3,'KEYS - DO NOT EDIT'!$E$2:$E$3)*I23</f>
        <v>50000000</v>
      </c>
      <c r="K23" s="2" t="s">
        <v>18</v>
      </c>
      <c r="L23" s="3">
        <v>15.0</v>
      </c>
      <c r="M23" s="4">
        <f t="array" ref="M23">XLOOKUP(K23,'KEYS - DO NOT EDIT'!$B$2:$B$3,'KEYS - DO NOT EDIT'!$F$2:$F$3)*L23</f>
        <v>15000000</v>
      </c>
      <c r="N23" s="2" t="s">
        <v>18</v>
      </c>
      <c r="O23" s="3">
        <v>10.0</v>
      </c>
      <c r="P23" s="4">
        <f t="array" ref="P23">XLOOKUP(N23,'KEYS - DO NOT EDIT'!$B$2:$B$3,'KEYS - DO NOT EDIT'!$G$2:$G$3)*O23</f>
        <v>15000000</v>
      </c>
      <c r="Q23" s="4">
        <f t="shared" si="1"/>
        <v>205000000</v>
      </c>
      <c r="R23" s="1" t="b">
        <f>IF(Q23&lt;='KEYS - DO NOT EDIT'!$A$6,TRUE,FALSE)</f>
        <v>1</v>
      </c>
    </row>
    <row r="24" ht="15.75" customHeight="1">
      <c r="A24" s="1">
        <v>2047.0</v>
      </c>
      <c r="B24" s="2" t="s">
        <v>18</v>
      </c>
      <c r="C24" s="3">
        <v>10.0</v>
      </c>
      <c r="D24" s="4">
        <f t="array" ref="D24">XLOOKUP(B24,'KEYS - DO NOT EDIT'!$B$2:$B$3,'KEYS - DO NOT EDIT'!$C$2:$C$3)*C24</f>
        <v>75000000</v>
      </c>
      <c r="E24" s="2" t="s">
        <v>18</v>
      </c>
      <c r="F24" s="3">
        <v>10.0</v>
      </c>
      <c r="G24" s="4">
        <f t="array" ref="G24">XLOOKUP(E24,'KEYS - DO NOT EDIT'!$B$2:$B$3,'KEYS - DO NOT EDIT'!$D$2:$D$3)*F24</f>
        <v>50000000</v>
      </c>
      <c r="H24" s="2" t="s">
        <v>18</v>
      </c>
      <c r="I24" s="3">
        <v>10.0</v>
      </c>
      <c r="J24" s="4">
        <f t="array" ref="J24">XLOOKUP(H24,'KEYS - DO NOT EDIT'!$B$2:$B$3,'KEYS - DO NOT EDIT'!$E$2:$E$3)*I24</f>
        <v>50000000</v>
      </c>
      <c r="K24" s="2" t="s">
        <v>18</v>
      </c>
      <c r="L24" s="3">
        <v>15.0</v>
      </c>
      <c r="M24" s="4">
        <f t="array" ref="M24">XLOOKUP(K24,'KEYS - DO NOT EDIT'!$B$2:$B$3,'KEYS - DO NOT EDIT'!$F$2:$F$3)*L24</f>
        <v>15000000</v>
      </c>
      <c r="N24" s="2" t="s">
        <v>18</v>
      </c>
      <c r="O24" s="3">
        <v>10.0</v>
      </c>
      <c r="P24" s="4">
        <f t="array" ref="P24">XLOOKUP(N24,'KEYS - DO NOT EDIT'!$B$2:$B$3,'KEYS - DO NOT EDIT'!$G$2:$G$3)*O24</f>
        <v>15000000</v>
      </c>
      <c r="Q24" s="4">
        <f t="shared" si="1"/>
        <v>205000000</v>
      </c>
      <c r="R24" s="1" t="b">
        <f>IF(Q24&lt;='KEYS - DO NOT EDIT'!$A$6,TRUE,FALSE)</f>
        <v>1</v>
      </c>
    </row>
    <row r="25" ht="15.75" customHeight="1">
      <c r="A25" s="1">
        <v>2048.0</v>
      </c>
      <c r="B25" s="2" t="s">
        <v>18</v>
      </c>
      <c r="C25" s="3">
        <v>10.0</v>
      </c>
      <c r="D25" s="4">
        <f t="array" ref="D25">XLOOKUP(B25,'KEYS - DO NOT EDIT'!$B$2:$B$3,'KEYS - DO NOT EDIT'!$C$2:$C$3)*C25</f>
        <v>75000000</v>
      </c>
      <c r="E25" s="2" t="s">
        <v>18</v>
      </c>
      <c r="F25" s="3">
        <v>10.0</v>
      </c>
      <c r="G25" s="4">
        <f t="array" ref="G25">XLOOKUP(E25,'KEYS - DO NOT EDIT'!$B$2:$B$3,'KEYS - DO NOT EDIT'!$D$2:$D$3)*F25</f>
        <v>50000000</v>
      </c>
      <c r="H25" s="2" t="s">
        <v>18</v>
      </c>
      <c r="I25" s="3">
        <v>10.0</v>
      </c>
      <c r="J25" s="4">
        <f t="array" ref="J25">XLOOKUP(H25,'KEYS - DO NOT EDIT'!$B$2:$B$3,'KEYS - DO NOT EDIT'!$E$2:$E$3)*I25</f>
        <v>50000000</v>
      </c>
      <c r="K25" s="2" t="s">
        <v>18</v>
      </c>
      <c r="L25" s="3">
        <v>15.0</v>
      </c>
      <c r="M25" s="4">
        <f t="array" ref="M25">XLOOKUP(K25,'KEYS - DO NOT EDIT'!$B$2:$B$3,'KEYS - DO NOT EDIT'!$F$2:$F$3)*L25</f>
        <v>15000000</v>
      </c>
      <c r="N25" s="2" t="s">
        <v>18</v>
      </c>
      <c r="O25" s="3">
        <v>10.0</v>
      </c>
      <c r="P25" s="4">
        <f t="array" ref="P25">XLOOKUP(N25,'KEYS - DO NOT EDIT'!$B$2:$B$3,'KEYS - DO NOT EDIT'!$G$2:$G$3)*O25</f>
        <v>15000000</v>
      </c>
      <c r="Q25" s="4">
        <f t="shared" si="1"/>
        <v>205000000</v>
      </c>
      <c r="R25" s="1" t="b">
        <f>IF(Q25&lt;='KEYS - DO NOT EDIT'!$A$6,TRUE,FALSE)</f>
        <v>1</v>
      </c>
    </row>
    <row r="26" ht="15.75" customHeight="1">
      <c r="A26" s="1">
        <v>2049.0</v>
      </c>
      <c r="B26" s="2" t="s">
        <v>18</v>
      </c>
      <c r="C26" s="3">
        <v>10.0</v>
      </c>
      <c r="D26" s="4">
        <f t="array" ref="D26">XLOOKUP(B26,'KEYS - DO NOT EDIT'!$B$2:$B$3,'KEYS - DO NOT EDIT'!$C$2:$C$3)*C26</f>
        <v>75000000</v>
      </c>
      <c r="E26" s="2" t="s">
        <v>18</v>
      </c>
      <c r="F26" s="3">
        <v>10.0</v>
      </c>
      <c r="G26" s="4">
        <f t="array" ref="G26">XLOOKUP(E26,'KEYS - DO NOT EDIT'!$B$2:$B$3,'KEYS - DO NOT EDIT'!$D$2:$D$3)*F26</f>
        <v>50000000</v>
      </c>
      <c r="H26" s="2" t="s">
        <v>18</v>
      </c>
      <c r="I26" s="3">
        <v>10.0</v>
      </c>
      <c r="J26" s="4">
        <f t="array" ref="J26">XLOOKUP(H26,'KEYS - DO NOT EDIT'!$B$2:$B$3,'KEYS - DO NOT EDIT'!$E$2:$E$3)*I26</f>
        <v>50000000</v>
      </c>
      <c r="K26" s="2" t="s">
        <v>18</v>
      </c>
      <c r="L26" s="3">
        <v>15.0</v>
      </c>
      <c r="M26" s="4">
        <f t="array" ref="M26">XLOOKUP(K26,'KEYS - DO NOT EDIT'!$B$2:$B$3,'KEYS - DO NOT EDIT'!$F$2:$F$3)*L26</f>
        <v>15000000</v>
      </c>
      <c r="N26" s="2" t="s">
        <v>18</v>
      </c>
      <c r="O26" s="3">
        <v>10.0</v>
      </c>
      <c r="P26" s="4">
        <f t="array" ref="P26">XLOOKUP(N26,'KEYS - DO NOT EDIT'!$B$2:$B$3,'KEYS - DO NOT EDIT'!$G$2:$G$3)*O26</f>
        <v>15000000</v>
      </c>
      <c r="Q26" s="4">
        <f t="shared" si="1"/>
        <v>205000000</v>
      </c>
      <c r="R26" s="1" t="b">
        <f>IF(Q26&lt;='KEYS - DO NOT EDIT'!$A$6,TRUE,FALSE)</f>
        <v>1</v>
      </c>
    </row>
    <row r="27" ht="15.75" customHeight="1">
      <c r="A27" s="1">
        <v>2050.0</v>
      </c>
      <c r="B27" s="2" t="s">
        <v>18</v>
      </c>
      <c r="C27" s="3">
        <v>10.0</v>
      </c>
      <c r="D27" s="4">
        <f t="array" ref="D27">XLOOKUP(B27,'KEYS - DO NOT EDIT'!$B$2:$B$3,'KEYS - DO NOT EDIT'!$C$2:$C$3)*C27</f>
        <v>75000000</v>
      </c>
      <c r="E27" s="2" t="s">
        <v>18</v>
      </c>
      <c r="F27" s="3">
        <v>10.0</v>
      </c>
      <c r="G27" s="4">
        <f t="array" ref="G27">XLOOKUP(E27,'KEYS - DO NOT EDIT'!$B$2:$B$3,'KEYS - DO NOT EDIT'!$D$2:$D$3)*F27</f>
        <v>50000000</v>
      </c>
      <c r="H27" s="2" t="s">
        <v>18</v>
      </c>
      <c r="I27" s="3">
        <v>10.0</v>
      </c>
      <c r="J27" s="4">
        <f t="array" ref="J27">XLOOKUP(H27,'KEYS - DO NOT EDIT'!$B$2:$B$3,'KEYS - DO NOT EDIT'!$E$2:$E$3)*I27</f>
        <v>50000000</v>
      </c>
      <c r="K27" s="2" t="s">
        <v>18</v>
      </c>
      <c r="L27" s="3">
        <v>15.0</v>
      </c>
      <c r="M27" s="4">
        <f t="array" ref="M27">XLOOKUP(K27,'KEYS - DO NOT EDIT'!$B$2:$B$3,'KEYS - DO NOT EDIT'!$F$2:$F$3)*L27</f>
        <v>15000000</v>
      </c>
      <c r="N27" s="2" t="s">
        <v>18</v>
      </c>
      <c r="O27" s="3">
        <v>10.0</v>
      </c>
      <c r="P27" s="4">
        <f t="array" ref="P27">XLOOKUP(N27,'KEYS - DO NOT EDIT'!$B$2:$B$3,'KEYS - DO NOT EDIT'!$G$2:$G$3)*O27</f>
        <v>15000000</v>
      </c>
      <c r="Q27" s="4">
        <f t="shared" si="1"/>
        <v>205000000</v>
      </c>
      <c r="R27" s="1" t="b">
        <f>IF(Q27&lt;='KEYS - DO NOT EDIT'!$A$6,TRUE,FALSE)</f>
        <v>1</v>
      </c>
    </row>
    <row r="28" ht="15.75" customHeight="1">
      <c r="F28" s="1"/>
      <c r="I28" s="1"/>
    </row>
    <row r="29" ht="15.75" customHeight="1">
      <c r="F29" s="1"/>
      <c r="I29" s="1"/>
      <c r="P29" s="1" t="s">
        <v>20</v>
      </c>
      <c r="Q29" s="5">
        <f>SUM(Q2:Q27)</f>
        <v>5720000000</v>
      </c>
      <c r="R29" s="1" t="b">
        <f>IF(Q29&lt;='KEYS - DO NOT EDIT'!$A$6,TRUE,FALSE)</f>
        <v>0</v>
      </c>
    </row>
    <row r="30" ht="15.75" customHeight="1">
      <c r="F30" s="1"/>
      <c r="I30" s="1"/>
    </row>
    <row r="31" ht="15.75" customHeight="1">
      <c r="F31" s="1"/>
      <c r="I31" s="1"/>
    </row>
    <row r="32" ht="15.75" customHeight="1">
      <c r="F32" s="1"/>
      <c r="I32" s="1"/>
    </row>
    <row r="33" ht="15.75" customHeight="1">
      <c r="F33" s="1"/>
      <c r="I33" s="1"/>
    </row>
    <row r="34" ht="15.75" customHeight="1">
      <c r="F34" s="1"/>
      <c r="I34" s="1"/>
    </row>
    <row r="35" ht="15.75" customHeight="1">
      <c r="F35" s="1"/>
      <c r="I35" s="1"/>
    </row>
    <row r="36" ht="15.75" customHeight="1">
      <c r="F36" s="1"/>
      <c r="I36" s="1"/>
    </row>
    <row r="37" ht="15.75" customHeight="1">
      <c r="F37" s="1"/>
      <c r="I37" s="1"/>
    </row>
    <row r="38" ht="15.75" customHeight="1">
      <c r="F38" s="1"/>
      <c r="I38" s="1"/>
    </row>
    <row r="39" ht="15.75" customHeight="1">
      <c r="F39" s="1"/>
      <c r="I39" s="1"/>
    </row>
    <row r="40" ht="15.75" customHeight="1">
      <c r="F40" s="1"/>
      <c r="I40" s="1"/>
    </row>
    <row r="41" ht="15.75" customHeight="1">
      <c r="F41" s="1"/>
      <c r="I41" s="1"/>
    </row>
    <row r="42" ht="15.75" customHeight="1">
      <c r="F42" s="1"/>
      <c r="I42" s="1"/>
    </row>
    <row r="43" ht="15.75" customHeight="1">
      <c r="F43" s="1"/>
      <c r="I43" s="1"/>
    </row>
    <row r="44" ht="15.75" customHeight="1">
      <c r="F44" s="1"/>
      <c r="I44" s="1"/>
    </row>
    <row r="45" ht="15.75" customHeight="1">
      <c r="F45" s="1"/>
      <c r="I45" s="1"/>
    </row>
    <row r="46" ht="15.75" customHeight="1">
      <c r="F46" s="1"/>
      <c r="I46" s="1"/>
    </row>
    <row r="47" ht="15.75" customHeight="1">
      <c r="F47" s="1"/>
      <c r="I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7 E2:E27 H2:H27 K2:K27 N2:N27">
      <formula1>'KEYS - DO NOT EDIT'!$A$1:$A$2</formula1>
    </dataValidation>
    <dataValidation type="decimal" allowBlank="1" showErrorMessage="1" sqref="C2:C27 L2:L27 O2:O27 F2:F47 I2:I47">
      <formula1>0.0</formula1>
      <formula2>100.0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10.56"/>
    <col customWidth="1" min="3" max="7" width="13.78"/>
    <col customWidth="1" min="8" max="26" width="10.56"/>
  </cols>
  <sheetData>
    <row r="1" ht="15.75" customHeight="1">
      <c r="A1" s="1" t="s">
        <v>18</v>
      </c>
      <c r="B1" s="1" t="s">
        <v>21</v>
      </c>
      <c r="C1" s="1" t="s">
        <v>1</v>
      </c>
      <c r="D1" s="1" t="s">
        <v>4</v>
      </c>
      <c r="E1" s="1" t="s">
        <v>7</v>
      </c>
      <c r="F1" s="1" t="s">
        <v>10</v>
      </c>
      <c r="G1" s="1" t="s">
        <v>13</v>
      </c>
    </row>
    <row r="2" ht="15.75" customHeight="1">
      <c r="A2" s="1" t="s">
        <v>19</v>
      </c>
      <c r="B2" s="1" t="s">
        <v>18</v>
      </c>
      <c r="C2" s="4">
        <v>7500000.0</v>
      </c>
      <c r="D2" s="4">
        <v>5000000.0</v>
      </c>
      <c r="E2" s="4">
        <v>5000000.0</v>
      </c>
      <c r="F2" s="4">
        <v>1000000.0</v>
      </c>
      <c r="G2" s="4">
        <v>1500000.0</v>
      </c>
    </row>
    <row r="3" ht="15.75" customHeight="1">
      <c r="B3" s="1" t="s">
        <v>19</v>
      </c>
      <c r="C3" s="4">
        <v>1.5E7</v>
      </c>
      <c r="D3" s="4">
        <v>1.0E7</v>
      </c>
      <c r="E3" s="4">
        <v>1.0E7</v>
      </c>
      <c r="F3" s="4">
        <v>3000000.0</v>
      </c>
      <c r="G3" s="4">
        <v>6000000.0</v>
      </c>
    </row>
    <row r="4" ht="15.75" customHeight="1"/>
    <row r="5" ht="15.75" customHeight="1">
      <c r="A5" s="1" t="s">
        <v>22</v>
      </c>
    </row>
    <row r="6" ht="15.75" customHeight="1">
      <c r="A6" s="4">
        <v>5.0E8</v>
      </c>
    </row>
    <row r="7" ht="15.75" customHeight="1"/>
    <row r="8" ht="15.75" customHeight="1">
      <c r="A8" s="1" t="s">
        <v>23</v>
      </c>
    </row>
    <row r="9" ht="15.75" customHeight="1">
      <c r="A9" s="4">
        <v>1.0E10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2024-03-01T16:48:04Z</dcterms:created>
  <dc:creator>Parag Rastogi</dc:creator>
</cp:coreProperties>
</file>